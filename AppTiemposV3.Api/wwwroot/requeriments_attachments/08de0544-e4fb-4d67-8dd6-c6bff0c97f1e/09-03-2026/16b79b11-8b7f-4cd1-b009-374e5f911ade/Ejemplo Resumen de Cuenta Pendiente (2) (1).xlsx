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arisa\Downloads\"/>
    </mc:Choice>
  </mc:AlternateContent>
  <xr:revisionPtr revIDLastSave="0" documentId="13_ncr:1_{3E9959A9-BE41-463B-9257-C031BC698B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de Cuenta Pendien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P40" i="1"/>
  <c r="P38" i="1"/>
  <c r="G38" i="1"/>
  <c r="P35" i="1"/>
  <c r="P36" i="1" s="1"/>
  <c r="P37" i="1" s="1"/>
  <c r="P29" i="1"/>
  <c r="P30" i="1" s="1"/>
  <c r="P31" i="1" s="1"/>
  <c r="P32" i="1" s="1"/>
  <c r="P34" i="1" s="1"/>
  <c r="P28" i="1"/>
  <c r="P26" i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G24" i="1"/>
  <c r="G18" i="1"/>
  <c r="G19" i="1"/>
  <c r="G20" i="1"/>
  <c r="G21" i="1"/>
  <c r="G22" i="1"/>
  <c r="G23" i="1"/>
  <c r="G17" i="1"/>
  <c r="P27" i="1" l="1"/>
</calcChain>
</file>

<file path=xl/sharedStrings.xml><?xml version="1.0" encoding="utf-8"?>
<sst xmlns="http://schemas.openxmlformats.org/spreadsheetml/2006/main" count="232" uniqueCount="38">
  <si>
    <t>Cuenta Cliente</t>
  </si>
  <si>
    <t>Cliente</t>
  </si>
  <si>
    <t>Cliente Tipo</t>
  </si>
  <si>
    <t>Cuit Cliente</t>
  </si>
  <si>
    <t>Fecha Orden</t>
  </si>
  <si>
    <t>Fecha Origen</t>
  </si>
  <si>
    <t>Fecha Vencimiento</t>
  </si>
  <si>
    <t>Desc. Comprobante</t>
  </si>
  <si>
    <t>Nº Comprobante</t>
  </si>
  <si>
    <t>Tipo de Negocio</t>
  </si>
  <si>
    <t>Cod. Moneda</t>
  </si>
  <si>
    <t>Cotizacion Moneda</t>
  </si>
  <si>
    <t>Debe</t>
  </si>
  <si>
    <t>Haber</t>
  </si>
  <si>
    <t>Saldo Acumulado</t>
  </si>
  <si>
    <t>00002</t>
  </si>
  <si>
    <t>CLIENTE 1</t>
  </si>
  <si>
    <t>(PRODUCTOR CEREAL)</t>
  </si>
  <si>
    <t>23-25791800-9</t>
  </si>
  <si>
    <t>Venta (Facturación)</t>
  </si>
  <si>
    <t>PE</t>
  </si>
  <si>
    <t>Nota Crédito "A"</t>
  </si>
  <si>
    <t>Factura "A"</t>
  </si>
  <si>
    <t>DO</t>
  </si>
  <si>
    <t>Factura "A" (Anticipada)</t>
  </si>
  <si>
    <t>Echeqs (Terceros)</t>
  </si>
  <si>
    <t>Saldo Cheques</t>
  </si>
  <si>
    <t>Saldo Cuenta Corriente</t>
  </si>
  <si>
    <t>00155</t>
  </si>
  <si>
    <t>AGRO COTTON S.A. </t>
  </si>
  <si>
    <t>(PROVEEDOR)</t>
  </si>
  <si>
    <t>23-25791800-2</t>
  </si>
  <si>
    <t>00985</t>
  </si>
  <si>
    <t>ROJOSOFT</t>
  </si>
  <si>
    <t>23-25791810-2</t>
  </si>
  <si>
    <t>Saldo Cliente - Cliente (0002)</t>
  </si>
  <si>
    <t>Saldo Cliente - Cliente(0002)</t>
  </si>
  <si>
    <t>Saldo Cliente - Cliente (0001)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</si>
</sst>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theme="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5" fontId="0" fillId="0" borderId="0" xfId="0" applyNumberFormat="1"/>
    <xf numFmtId="14" fontId="0" fillId="0" borderId="0" xfId="0" applyNumberFormat="1"/>
    <xf numFmtId="43" fontId="0" fillId="2" borderId="1" xfId="1" applyNumberFormat="1" applyFont="1" applyFill="1" applyBorder="1" applyAlignment="1">
      <alignment vertical="center"/>
    </xf>
    <xf numFmtId="43" fontId="0" fillId="0" borderId="0" xfId="1" applyNumberFormat="1" applyFont="1" applyAlignment="1">
      <alignment vertical="center"/>
    </xf>
    <xf numFmtId="43" fontId="1" fillId="0" borderId="0" xfId="1" applyNumberFormat="1" applyFont="1" applyAlignment="1">
      <alignment vertical="center"/>
    </xf>
    <xf numFmtId="43" fontId="0" fillId="0" borderId="0" xfId="1" applyNumberFormat="1" applyFont="1"/>
    <xf numFmtId="4" fontId="0" fillId="2" borderId="1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/>
    <xf numFmtId="165" fontId="0" fillId="3" borderId="0" xfId="0" applyNumberFormat="1" applyFill="1"/>
    <xf numFmtId="0" fontId="0" fillId="3" borderId="0" xfId="0" applyFill="1" applyAlignment="1">
      <alignment horizontal="center"/>
    </xf>
    <xf numFmtId="49" fontId="0" fillId="0" borderId="0" xfId="0" applyNumberFormat="1"/>
    <xf numFmtId="0" fontId="4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90" zoomScaleNormal="90" workbookViewId="0">
      <selection activeCell="A26" sqref="A26:O26"/>
    </sheetView>
  </sheetViews>
  <sheetFormatPr baseColWidth="10" defaultRowHeight="15" x14ac:dyDescent="0.25"/>
  <cols>
    <col min="1" max="4" width="30"/>
    <col min="5" max="6" width="12"/>
    <col min="7" max="7" width="15.85546875" customWidth="1"/>
    <col min="8" max="8" width="12" customWidth="1"/>
    <col min="9" max="9" width="30"/>
    <col min="10" max="10" width="15"/>
    <col min="11" max="12" width="30"/>
    <col min="13" max="13" width="15"/>
    <col min="14" max="14" width="17.42578125" style="10" bestFit="1" customWidth="1"/>
    <col min="15" max="15" width="15" style="13"/>
    <col min="16" max="16" width="23.42578125" customWidth="1"/>
    <col min="17" max="17" width="15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12</v>
      </c>
      <c r="O1" s="11" t="s">
        <v>13</v>
      </c>
      <c r="P1" s="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s="4">
        <v>44882</v>
      </c>
      <c r="F2" s="4">
        <v>44882</v>
      </c>
      <c r="G2" s="4">
        <v>44882</v>
      </c>
      <c r="H2" s="4"/>
      <c r="I2" t="s">
        <v>21</v>
      </c>
      <c r="J2" s="3">
        <v>100000001</v>
      </c>
      <c r="K2" t="s">
        <v>19</v>
      </c>
      <c r="L2" t="s">
        <v>20</v>
      </c>
      <c r="M2" s="2">
        <v>1</v>
      </c>
      <c r="N2" s="8">
        <v>0</v>
      </c>
      <c r="O2" s="12">
        <v>345714.29</v>
      </c>
      <c r="P2" s="5">
        <f>(N2-O2)</f>
        <v>-345714.29</v>
      </c>
    </row>
    <row r="3" spans="1:16" x14ac:dyDescent="0.25">
      <c r="A3" t="s">
        <v>15</v>
      </c>
      <c r="B3" t="s">
        <v>16</v>
      </c>
      <c r="C3" t="s">
        <v>17</v>
      </c>
      <c r="D3" t="s">
        <v>18</v>
      </c>
      <c r="E3" s="4">
        <v>44882</v>
      </c>
      <c r="F3" s="4">
        <v>44882</v>
      </c>
      <c r="G3" s="4">
        <v>44882</v>
      </c>
      <c r="H3" s="4"/>
      <c r="I3" t="s">
        <v>21</v>
      </c>
      <c r="J3" s="3">
        <v>100000002</v>
      </c>
      <c r="K3" t="s">
        <v>19</v>
      </c>
      <c r="L3" t="s">
        <v>20</v>
      </c>
      <c r="M3" s="2">
        <v>1</v>
      </c>
      <c r="N3" s="8">
        <v>0</v>
      </c>
      <c r="O3" s="12">
        <v>518571.43</v>
      </c>
      <c r="P3" s="5">
        <f>(P2+N3-O3)</f>
        <v>-864285.72</v>
      </c>
    </row>
    <row r="4" spans="1:16" x14ac:dyDescent="0.25">
      <c r="A4" t="s">
        <v>15</v>
      </c>
      <c r="B4" t="s">
        <v>16</v>
      </c>
      <c r="C4" t="s">
        <v>17</v>
      </c>
      <c r="D4" t="s">
        <v>18</v>
      </c>
      <c r="E4" s="4">
        <v>44882</v>
      </c>
      <c r="F4" s="4">
        <v>44882</v>
      </c>
      <c r="G4" s="4">
        <v>44882</v>
      </c>
      <c r="H4" s="4"/>
      <c r="I4" t="s">
        <v>22</v>
      </c>
      <c r="J4" s="3">
        <v>100000023</v>
      </c>
      <c r="K4" t="s">
        <v>19</v>
      </c>
      <c r="L4" t="s">
        <v>23</v>
      </c>
      <c r="M4" s="2">
        <v>100</v>
      </c>
      <c r="N4" s="8">
        <v>74143</v>
      </c>
      <c r="O4" s="12">
        <v>0</v>
      </c>
      <c r="P4" s="5">
        <f>(P3+N4-O4)</f>
        <v>-790142.72</v>
      </c>
    </row>
    <row r="5" spans="1:16" x14ac:dyDescent="0.25">
      <c r="A5" t="s">
        <v>15</v>
      </c>
      <c r="B5" t="s">
        <v>16</v>
      </c>
      <c r="C5" t="s">
        <v>17</v>
      </c>
      <c r="D5" t="s">
        <v>18</v>
      </c>
      <c r="E5" s="4">
        <v>44926</v>
      </c>
      <c r="F5" s="4">
        <v>44873</v>
      </c>
      <c r="G5" s="4">
        <v>44926</v>
      </c>
      <c r="H5" s="4"/>
      <c r="I5" t="s">
        <v>22</v>
      </c>
      <c r="J5" s="3">
        <v>100000021</v>
      </c>
      <c r="K5" t="s">
        <v>19</v>
      </c>
      <c r="L5" t="s">
        <v>23</v>
      </c>
      <c r="M5" s="2">
        <v>100</v>
      </c>
      <c r="N5" s="8">
        <v>554161</v>
      </c>
      <c r="O5" s="12">
        <v>0</v>
      </c>
      <c r="P5" s="5">
        <f t="shared" ref="P5:P23" si="0">(P4+N5-O5)</f>
        <v>-235981.71999999997</v>
      </c>
    </row>
    <row r="6" spans="1:16" x14ac:dyDescent="0.25">
      <c r="A6" t="s">
        <v>15</v>
      </c>
      <c r="B6" t="s">
        <v>16</v>
      </c>
      <c r="C6" t="s">
        <v>17</v>
      </c>
      <c r="D6" t="s">
        <v>18</v>
      </c>
      <c r="E6" s="4">
        <v>45274</v>
      </c>
      <c r="F6" s="4">
        <v>45274</v>
      </c>
      <c r="G6" s="4">
        <v>45274</v>
      </c>
      <c r="H6" s="4"/>
      <c r="I6" t="s">
        <v>22</v>
      </c>
      <c r="J6" s="3">
        <v>100000041</v>
      </c>
      <c r="K6" t="s">
        <v>19</v>
      </c>
      <c r="L6" t="s">
        <v>23</v>
      </c>
      <c r="M6" s="2">
        <v>799.95</v>
      </c>
      <c r="N6" s="8">
        <v>7070894.0415000003</v>
      </c>
      <c r="O6" s="12">
        <v>0</v>
      </c>
      <c r="P6" s="5">
        <f t="shared" si="0"/>
        <v>6834912.3215000005</v>
      </c>
    </row>
    <row r="7" spans="1:16" x14ac:dyDescent="0.25">
      <c r="A7" t="s">
        <v>15</v>
      </c>
      <c r="B7" t="s">
        <v>16</v>
      </c>
      <c r="C7" t="s">
        <v>17</v>
      </c>
      <c r="D7" t="s">
        <v>18</v>
      </c>
      <c r="E7" s="4">
        <v>45330</v>
      </c>
      <c r="F7" s="4">
        <v>45329</v>
      </c>
      <c r="G7" s="4">
        <v>45330</v>
      </c>
      <c r="H7" s="4"/>
      <c r="I7" t="s">
        <v>22</v>
      </c>
      <c r="J7" s="3">
        <v>100000025</v>
      </c>
      <c r="K7" t="s">
        <v>19</v>
      </c>
      <c r="L7" t="s">
        <v>23</v>
      </c>
      <c r="M7" s="2">
        <v>829.5</v>
      </c>
      <c r="N7" s="8">
        <v>6617759.2949999999</v>
      </c>
      <c r="O7" s="12">
        <v>0</v>
      </c>
      <c r="P7" s="5">
        <f t="shared" si="0"/>
        <v>13452671.616500001</v>
      </c>
    </row>
    <row r="8" spans="1:16" x14ac:dyDescent="0.25">
      <c r="A8" t="s">
        <v>15</v>
      </c>
      <c r="B8" t="s">
        <v>16</v>
      </c>
      <c r="C8" t="s">
        <v>17</v>
      </c>
      <c r="D8" t="s">
        <v>18</v>
      </c>
      <c r="E8" s="4">
        <v>45511</v>
      </c>
      <c r="F8" s="4">
        <v>45511</v>
      </c>
      <c r="G8" s="4">
        <v>45511</v>
      </c>
      <c r="H8" s="4"/>
      <c r="I8" t="s">
        <v>22</v>
      </c>
      <c r="J8" s="3">
        <v>100000045</v>
      </c>
      <c r="K8" t="s">
        <v>19</v>
      </c>
      <c r="L8" t="s">
        <v>23</v>
      </c>
      <c r="M8" s="2">
        <v>935</v>
      </c>
      <c r="N8" s="8">
        <v>47526.05</v>
      </c>
      <c r="O8" s="12">
        <v>0</v>
      </c>
      <c r="P8" s="5">
        <f t="shared" si="0"/>
        <v>13500197.666500002</v>
      </c>
    </row>
    <row r="9" spans="1:16" x14ac:dyDescent="0.25">
      <c r="A9" t="s">
        <v>15</v>
      </c>
      <c r="B9" t="s">
        <v>16</v>
      </c>
      <c r="C9" t="s">
        <v>17</v>
      </c>
      <c r="D9" t="s">
        <v>18</v>
      </c>
      <c r="E9" s="4">
        <v>45511</v>
      </c>
      <c r="F9" s="4">
        <v>45511</v>
      </c>
      <c r="G9" s="4">
        <v>45511</v>
      </c>
      <c r="H9" s="4"/>
      <c r="I9" t="s">
        <v>22</v>
      </c>
      <c r="J9" s="3">
        <v>100000046</v>
      </c>
      <c r="K9" t="s">
        <v>19</v>
      </c>
      <c r="L9" t="s">
        <v>23</v>
      </c>
      <c r="M9" s="2">
        <v>935</v>
      </c>
      <c r="N9" s="8">
        <v>47526.05</v>
      </c>
      <c r="O9" s="12">
        <v>0</v>
      </c>
      <c r="P9" s="5">
        <f t="shared" si="0"/>
        <v>13547723.716500003</v>
      </c>
    </row>
    <row r="10" spans="1:16" x14ac:dyDescent="0.25">
      <c r="A10" t="s">
        <v>15</v>
      </c>
      <c r="B10" t="s">
        <v>16</v>
      </c>
      <c r="C10" t="s">
        <v>17</v>
      </c>
      <c r="D10" t="s">
        <v>18</v>
      </c>
      <c r="E10" s="4">
        <v>45603</v>
      </c>
      <c r="F10" s="4">
        <v>45603</v>
      </c>
      <c r="G10" s="4">
        <v>45603</v>
      </c>
      <c r="H10" s="4"/>
      <c r="I10" t="s">
        <v>24</v>
      </c>
      <c r="J10" s="3">
        <v>100000047</v>
      </c>
      <c r="K10" t="s">
        <v>19</v>
      </c>
      <c r="L10" t="s">
        <v>23</v>
      </c>
      <c r="M10" s="2">
        <v>993</v>
      </c>
      <c r="N10" s="8">
        <v>158601960</v>
      </c>
      <c r="O10" s="12">
        <v>0</v>
      </c>
      <c r="P10" s="5">
        <f t="shared" si="0"/>
        <v>172149683.71650001</v>
      </c>
    </row>
    <row r="11" spans="1:16" x14ac:dyDescent="0.25">
      <c r="A11" t="s">
        <v>15</v>
      </c>
      <c r="B11" t="s">
        <v>16</v>
      </c>
      <c r="C11" t="s">
        <v>17</v>
      </c>
      <c r="D11" t="s">
        <v>18</v>
      </c>
      <c r="E11" s="4">
        <v>45603</v>
      </c>
      <c r="F11" s="4">
        <v>45603</v>
      </c>
      <c r="G11" s="4">
        <v>45603</v>
      </c>
      <c r="H11" s="4"/>
      <c r="I11" t="s">
        <v>24</v>
      </c>
      <c r="J11" s="3">
        <v>100000048</v>
      </c>
      <c r="K11" t="s">
        <v>19</v>
      </c>
      <c r="L11" t="s">
        <v>23</v>
      </c>
      <c r="M11" s="2">
        <v>993</v>
      </c>
      <c r="N11" s="8">
        <v>77498685</v>
      </c>
      <c r="O11" s="12">
        <v>0</v>
      </c>
      <c r="P11" s="5">
        <f t="shared" si="0"/>
        <v>249648368.71650001</v>
      </c>
    </row>
    <row r="12" spans="1:16" x14ac:dyDescent="0.25">
      <c r="A12" t="s">
        <v>15</v>
      </c>
      <c r="B12" t="s">
        <v>16</v>
      </c>
      <c r="C12" t="s">
        <v>17</v>
      </c>
      <c r="D12" t="s">
        <v>18</v>
      </c>
      <c r="E12" s="4">
        <v>45680</v>
      </c>
      <c r="F12" s="4">
        <v>45680</v>
      </c>
      <c r="G12" s="4">
        <v>45680</v>
      </c>
      <c r="H12" s="4"/>
      <c r="I12" t="s">
        <v>22</v>
      </c>
      <c r="J12" s="3">
        <v>100000052</v>
      </c>
      <c r="K12" t="s">
        <v>19</v>
      </c>
      <c r="L12" t="s">
        <v>23</v>
      </c>
      <c r="M12" s="2">
        <v>1048</v>
      </c>
      <c r="N12" s="8">
        <v>119833560</v>
      </c>
      <c r="O12" s="12">
        <v>0</v>
      </c>
      <c r="P12" s="5">
        <f t="shared" si="0"/>
        <v>369481928.71650004</v>
      </c>
    </row>
    <row r="13" spans="1:16" x14ac:dyDescent="0.25">
      <c r="A13" t="s">
        <v>15</v>
      </c>
      <c r="B13" t="s">
        <v>16</v>
      </c>
      <c r="C13" t="s">
        <v>17</v>
      </c>
      <c r="D13" t="s">
        <v>18</v>
      </c>
      <c r="E13" s="4">
        <v>45680</v>
      </c>
      <c r="F13" s="4">
        <v>45680</v>
      </c>
      <c r="G13" s="4">
        <v>45680</v>
      </c>
      <c r="H13" s="4"/>
      <c r="I13" t="s">
        <v>22</v>
      </c>
      <c r="J13" s="3">
        <v>100000053</v>
      </c>
      <c r="K13" t="s">
        <v>19</v>
      </c>
      <c r="L13" t="s">
        <v>23</v>
      </c>
      <c r="M13" s="2">
        <v>1048</v>
      </c>
      <c r="N13" s="8">
        <v>119833560</v>
      </c>
      <c r="O13" s="12">
        <v>0</v>
      </c>
      <c r="P13" s="5">
        <f t="shared" si="0"/>
        <v>489315488.71650004</v>
      </c>
    </row>
    <row r="14" spans="1:16" x14ac:dyDescent="0.25">
      <c r="A14" t="s">
        <v>15</v>
      </c>
      <c r="B14" t="s">
        <v>16</v>
      </c>
      <c r="C14" t="s">
        <v>17</v>
      </c>
      <c r="D14" t="s">
        <v>18</v>
      </c>
      <c r="E14" s="4">
        <v>45686</v>
      </c>
      <c r="F14" s="4">
        <v>45678</v>
      </c>
      <c r="G14" s="4">
        <v>45686</v>
      </c>
      <c r="H14" s="4"/>
      <c r="I14" t="s">
        <v>22</v>
      </c>
      <c r="J14" s="3">
        <v>100000051</v>
      </c>
      <c r="K14" t="s">
        <v>19</v>
      </c>
      <c r="L14" t="s">
        <v>23</v>
      </c>
      <c r="M14" s="2">
        <v>1047</v>
      </c>
      <c r="N14" s="8">
        <v>266095.05</v>
      </c>
      <c r="O14" s="12">
        <v>0</v>
      </c>
      <c r="P14" s="5">
        <f t="shared" si="0"/>
        <v>489581583.76650006</v>
      </c>
    </row>
    <row r="15" spans="1:16" x14ac:dyDescent="0.25">
      <c r="A15" t="s">
        <v>15</v>
      </c>
      <c r="B15" t="s">
        <v>16</v>
      </c>
      <c r="C15" t="s">
        <v>17</v>
      </c>
      <c r="D15" t="s">
        <v>18</v>
      </c>
      <c r="E15" s="4">
        <v>45712</v>
      </c>
      <c r="F15" s="4">
        <v>45680</v>
      </c>
      <c r="G15" s="4">
        <v>45712</v>
      </c>
      <c r="H15" s="4"/>
      <c r="I15" t="s">
        <v>22</v>
      </c>
      <c r="J15" s="3">
        <v>100000053</v>
      </c>
      <c r="K15" t="s">
        <v>19</v>
      </c>
      <c r="L15" t="s">
        <v>23</v>
      </c>
      <c r="M15" s="2">
        <v>1048</v>
      </c>
      <c r="N15" s="8">
        <v>59916780</v>
      </c>
      <c r="O15" s="12">
        <v>0</v>
      </c>
      <c r="P15" s="5">
        <f t="shared" si="0"/>
        <v>549498363.7665</v>
      </c>
    </row>
    <row r="16" spans="1:16" x14ac:dyDescent="0.25">
      <c r="A16" t="s">
        <v>15</v>
      </c>
      <c r="B16" t="s">
        <v>16</v>
      </c>
      <c r="C16" t="s">
        <v>17</v>
      </c>
      <c r="D16" t="s">
        <v>18</v>
      </c>
      <c r="E16" s="4">
        <v>45740</v>
      </c>
      <c r="F16" s="4">
        <v>45680</v>
      </c>
      <c r="G16" s="4">
        <v>45740</v>
      </c>
      <c r="H16" s="4"/>
      <c r="I16" t="s">
        <v>22</v>
      </c>
      <c r="J16" s="3">
        <v>100000052</v>
      </c>
      <c r="K16" t="s">
        <v>19</v>
      </c>
      <c r="L16" t="s">
        <v>23</v>
      </c>
      <c r="M16" s="2">
        <v>1048</v>
      </c>
      <c r="N16" s="8">
        <v>59916780</v>
      </c>
      <c r="O16" s="12">
        <v>0</v>
      </c>
      <c r="P16" s="5">
        <f t="shared" si="0"/>
        <v>609415143.7665</v>
      </c>
    </row>
    <row r="17" spans="1:16" x14ac:dyDescent="0.25">
      <c r="A17" t="s">
        <v>15</v>
      </c>
      <c r="B17" t="s">
        <v>16</v>
      </c>
      <c r="C17" t="s">
        <v>17</v>
      </c>
      <c r="D17" t="s">
        <v>18</v>
      </c>
      <c r="E17" s="4">
        <v>45741</v>
      </c>
      <c r="F17" s="4">
        <v>45741</v>
      </c>
      <c r="G17" s="6">
        <f>(E17+60)</f>
        <v>45801</v>
      </c>
      <c r="I17" t="s">
        <v>25</v>
      </c>
      <c r="J17" s="3">
        <v>100000001</v>
      </c>
      <c r="L17" t="s">
        <v>20</v>
      </c>
      <c r="M17" s="2">
        <v>1</v>
      </c>
      <c r="N17" s="9">
        <v>1000000</v>
      </c>
      <c r="O17" s="12">
        <v>0</v>
      </c>
      <c r="P17" s="5">
        <f t="shared" si="0"/>
        <v>610415143.7665</v>
      </c>
    </row>
    <row r="18" spans="1:16" x14ac:dyDescent="0.25">
      <c r="A18" t="s">
        <v>15</v>
      </c>
      <c r="B18" t="s">
        <v>16</v>
      </c>
      <c r="C18" t="s">
        <v>17</v>
      </c>
      <c r="D18" t="s">
        <v>18</v>
      </c>
      <c r="E18" s="4">
        <v>45742</v>
      </c>
      <c r="F18" s="4">
        <v>45742</v>
      </c>
      <c r="G18" s="6">
        <f t="shared" ref="G18:G24" si="1">(E18+60)</f>
        <v>45802</v>
      </c>
      <c r="I18" t="s">
        <v>25</v>
      </c>
      <c r="J18" s="3">
        <v>100000002</v>
      </c>
      <c r="L18" t="s">
        <v>20</v>
      </c>
      <c r="M18" s="2">
        <v>1</v>
      </c>
      <c r="N18" s="9">
        <v>1500000</v>
      </c>
      <c r="O18" s="12">
        <v>0</v>
      </c>
      <c r="P18" s="5">
        <f t="shared" si="0"/>
        <v>611915143.7665</v>
      </c>
    </row>
    <row r="19" spans="1:16" x14ac:dyDescent="0.25">
      <c r="A19" t="s">
        <v>15</v>
      </c>
      <c r="B19" t="s">
        <v>16</v>
      </c>
      <c r="C19" t="s">
        <v>17</v>
      </c>
      <c r="D19" t="s">
        <v>18</v>
      </c>
      <c r="E19" s="4">
        <v>45743</v>
      </c>
      <c r="F19" s="4">
        <v>45743</v>
      </c>
      <c r="G19" s="6">
        <f t="shared" si="1"/>
        <v>45803</v>
      </c>
      <c r="I19" t="s">
        <v>25</v>
      </c>
      <c r="J19" s="3">
        <v>100000003</v>
      </c>
      <c r="L19" t="s">
        <v>20</v>
      </c>
      <c r="M19" s="2">
        <v>1</v>
      </c>
      <c r="N19" s="10">
        <v>3000000</v>
      </c>
      <c r="O19" s="12">
        <v>0</v>
      </c>
      <c r="P19" s="5">
        <f t="shared" si="0"/>
        <v>614915143.7665</v>
      </c>
    </row>
    <row r="20" spans="1:16" x14ac:dyDescent="0.25">
      <c r="A20" t="s">
        <v>15</v>
      </c>
      <c r="B20" t="s">
        <v>16</v>
      </c>
      <c r="C20" t="s">
        <v>17</v>
      </c>
      <c r="D20" t="s">
        <v>18</v>
      </c>
      <c r="E20" s="4">
        <v>45744</v>
      </c>
      <c r="F20" s="4">
        <v>45744</v>
      </c>
      <c r="G20" s="6">
        <f t="shared" si="1"/>
        <v>45804</v>
      </c>
      <c r="I20" t="s">
        <v>25</v>
      </c>
      <c r="J20" s="3">
        <v>100000004</v>
      </c>
      <c r="L20" t="s">
        <v>20</v>
      </c>
      <c r="M20" s="2">
        <v>1</v>
      </c>
      <c r="N20" s="10">
        <v>500000</v>
      </c>
      <c r="O20" s="12">
        <v>0</v>
      </c>
      <c r="P20" s="5">
        <f t="shared" si="0"/>
        <v>615415143.7665</v>
      </c>
    </row>
    <row r="21" spans="1:16" x14ac:dyDescent="0.25">
      <c r="A21" t="s">
        <v>15</v>
      </c>
      <c r="B21" t="s">
        <v>16</v>
      </c>
      <c r="C21" t="s">
        <v>17</v>
      </c>
      <c r="D21" t="s">
        <v>18</v>
      </c>
      <c r="E21" s="4">
        <v>45745</v>
      </c>
      <c r="F21" s="4">
        <v>45745</v>
      </c>
      <c r="G21" s="6">
        <f t="shared" si="1"/>
        <v>45805</v>
      </c>
      <c r="I21" t="s">
        <v>25</v>
      </c>
      <c r="J21" s="3">
        <v>100000005</v>
      </c>
      <c r="L21" t="s">
        <v>20</v>
      </c>
      <c r="M21" s="2">
        <v>1</v>
      </c>
      <c r="N21" s="10">
        <v>4000000</v>
      </c>
      <c r="O21" s="12">
        <v>0</v>
      </c>
      <c r="P21" s="5">
        <f t="shared" si="0"/>
        <v>619415143.7665</v>
      </c>
    </row>
    <row r="22" spans="1:16" x14ac:dyDescent="0.25">
      <c r="A22" t="s">
        <v>15</v>
      </c>
      <c r="B22" t="s">
        <v>16</v>
      </c>
      <c r="C22" t="s">
        <v>17</v>
      </c>
      <c r="D22" t="s">
        <v>18</v>
      </c>
      <c r="E22" s="4">
        <v>45746</v>
      </c>
      <c r="F22" s="4">
        <v>45746</v>
      </c>
      <c r="G22" s="6">
        <f t="shared" si="1"/>
        <v>45806</v>
      </c>
      <c r="I22" t="s">
        <v>25</v>
      </c>
      <c r="J22" s="3">
        <v>100000006</v>
      </c>
      <c r="L22" t="s">
        <v>20</v>
      </c>
      <c r="M22" s="2">
        <v>1</v>
      </c>
      <c r="N22" s="10">
        <v>6750000</v>
      </c>
      <c r="O22" s="12">
        <v>0</v>
      </c>
      <c r="P22" s="5">
        <f t="shared" si="0"/>
        <v>626165143.7665</v>
      </c>
    </row>
    <row r="23" spans="1:16" x14ac:dyDescent="0.25">
      <c r="A23" t="s">
        <v>15</v>
      </c>
      <c r="B23" t="s">
        <v>16</v>
      </c>
      <c r="C23" t="s">
        <v>17</v>
      </c>
      <c r="D23" t="s">
        <v>18</v>
      </c>
      <c r="E23" s="4">
        <v>45747</v>
      </c>
      <c r="F23" s="4">
        <v>45747</v>
      </c>
      <c r="G23" s="6">
        <f t="shared" si="1"/>
        <v>45807</v>
      </c>
      <c r="I23" t="s">
        <v>25</v>
      </c>
      <c r="J23" s="3">
        <v>100000007</v>
      </c>
      <c r="L23" t="s">
        <v>20</v>
      </c>
      <c r="M23" s="2">
        <v>1</v>
      </c>
      <c r="N23" s="10">
        <v>1200000</v>
      </c>
      <c r="O23" s="12">
        <v>0</v>
      </c>
      <c r="P23" s="5">
        <f t="shared" si="0"/>
        <v>627365143.7665</v>
      </c>
    </row>
    <row r="24" spans="1:16" x14ac:dyDescent="0.25">
      <c r="A24" t="s">
        <v>15</v>
      </c>
      <c r="B24" t="s">
        <v>16</v>
      </c>
      <c r="C24" t="s">
        <v>17</v>
      </c>
      <c r="D24" t="s">
        <v>18</v>
      </c>
      <c r="E24" s="4">
        <v>45748</v>
      </c>
      <c r="F24" s="4">
        <v>45748</v>
      </c>
      <c r="G24" s="6">
        <f t="shared" si="1"/>
        <v>45808</v>
      </c>
      <c r="I24" t="s">
        <v>25</v>
      </c>
      <c r="J24" s="3">
        <v>100000008</v>
      </c>
      <c r="L24" t="s">
        <v>20</v>
      </c>
      <c r="M24" s="2">
        <v>1</v>
      </c>
      <c r="N24" s="10">
        <v>1000000</v>
      </c>
      <c r="O24" s="12">
        <v>0</v>
      </c>
      <c r="P24" s="5">
        <f>(P23+N24-O24)</f>
        <v>628365143.7665</v>
      </c>
    </row>
    <row r="25" spans="1:16" x14ac:dyDescent="0.25">
      <c r="A25" s="15" t="s">
        <v>37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4">
        <f>(P24+N25-O25)</f>
        <v>628365143.7665</v>
      </c>
    </row>
    <row r="26" spans="1:16" x14ac:dyDescent="0.25">
      <c r="A26" s="15" t="s">
        <v>26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4">
        <f>SUM(N17:N24)</f>
        <v>18950000</v>
      </c>
    </row>
    <row r="27" spans="1:16" x14ac:dyDescent="0.25">
      <c r="A27" s="15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4">
        <f>(P25-P26)</f>
        <v>609415143.7665</v>
      </c>
    </row>
    <row r="28" spans="1:16" x14ac:dyDescent="0.25">
      <c r="A28" s="16" t="s">
        <v>28</v>
      </c>
      <c r="B28" s="17" t="s">
        <v>29</v>
      </c>
      <c r="C28" t="s">
        <v>30</v>
      </c>
      <c r="D28" t="s">
        <v>31</v>
      </c>
      <c r="E28" s="4">
        <v>44882</v>
      </c>
      <c r="F28" s="4">
        <v>44882</v>
      </c>
      <c r="G28" s="4">
        <v>44882</v>
      </c>
      <c r="H28" s="4"/>
      <c r="I28" t="s">
        <v>21</v>
      </c>
      <c r="J28" s="3">
        <v>100000001</v>
      </c>
      <c r="K28" t="s">
        <v>19</v>
      </c>
      <c r="L28" t="s">
        <v>20</v>
      </c>
      <c r="M28" s="2">
        <v>1</v>
      </c>
      <c r="N28" s="8">
        <v>0</v>
      </c>
      <c r="O28" s="12">
        <v>345714.29</v>
      </c>
      <c r="P28" s="5">
        <f>(N28-O28)</f>
        <v>-345714.29</v>
      </c>
    </row>
    <row r="29" spans="1:16" x14ac:dyDescent="0.25">
      <c r="A29" s="16" t="s">
        <v>28</v>
      </c>
      <c r="B29" s="17" t="s">
        <v>29</v>
      </c>
      <c r="C29" t="s">
        <v>30</v>
      </c>
      <c r="D29" t="s">
        <v>31</v>
      </c>
      <c r="E29" s="4">
        <v>44882</v>
      </c>
      <c r="F29" s="4">
        <v>44882</v>
      </c>
      <c r="G29" s="4">
        <v>44882</v>
      </c>
      <c r="H29" s="4"/>
      <c r="I29" t="s">
        <v>21</v>
      </c>
      <c r="J29" s="3">
        <v>100000002</v>
      </c>
      <c r="K29" t="s">
        <v>19</v>
      </c>
      <c r="L29" t="s">
        <v>20</v>
      </c>
      <c r="M29" s="2">
        <v>1</v>
      </c>
      <c r="N29" s="8">
        <v>0</v>
      </c>
      <c r="O29" s="12">
        <v>518571.43</v>
      </c>
      <c r="P29" s="5">
        <f>(P28+N29-O29)</f>
        <v>-864285.72</v>
      </c>
    </row>
    <row r="30" spans="1:16" x14ac:dyDescent="0.25">
      <c r="A30" s="16" t="s">
        <v>28</v>
      </c>
      <c r="B30" s="17" t="s">
        <v>29</v>
      </c>
      <c r="C30" t="s">
        <v>30</v>
      </c>
      <c r="D30" t="s">
        <v>31</v>
      </c>
      <c r="E30" s="4">
        <v>44882</v>
      </c>
      <c r="F30" s="4">
        <v>44882</v>
      </c>
      <c r="G30" s="4">
        <v>44882</v>
      </c>
      <c r="H30" s="4"/>
      <c r="I30" t="s">
        <v>22</v>
      </c>
      <c r="J30" s="3">
        <v>100000023</v>
      </c>
      <c r="K30" t="s">
        <v>19</v>
      </c>
      <c r="L30" t="s">
        <v>23</v>
      </c>
      <c r="M30" s="2">
        <v>100</v>
      </c>
      <c r="N30" s="8">
        <v>74143</v>
      </c>
      <c r="O30" s="12">
        <v>0</v>
      </c>
      <c r="P30" s="5">
        <f>(P29+N30-O30)</f>
        <v>-790142.72</v>
      </c>
    </row>
    <row r="31" spans="1:16" x14ac:dyDescent="0.25">
      <c r="A31" s="16" t="s">
        <v>28</v>
      </c>
      <c r="B31" s="17" t="s">
        <v>29</v>
      </c>
      <c r="C31" t="s">
        <v>30</v>
      </c>
      <c r="D31" t="s">
        <v>31</v>
      </c>
      <c r="E31" s="4">
        <v>44926</v>
      </c>
      <c r="F31" s="4">
        <v>44873</v>
      </c>
      <c r="G31" s="4">
        <v>44926</v>
      </c>
      <c r="H31" s="4"/>
      <c r="I31" t="s">
        <v>22</v>
      </c>
      <c r="J31" s="3">
        <v>100000021</v>
      </c>
      <c r="K31" t="s">
        <v>19</v>
      </c>
      <c r="L31" t="s">
        <v>23</v>
      </c>
      <c r="M31" s="2">
        <v>100</v>
      </c>
      <c r="N31" s="8">
        <v>554161</v>
      </c>
      <c r="O31" s="12">
        <v>0</v>
      </c>
      <c r="P31" s="5">
        <f t="shared" ref="P31" si="2">(P30+N31-O31)</f>
        <v>-235981.71999999997</v>
      </c>
    </row>
    <row r="32" spans="1:16" x14ac:dyDescent="0.25">
      <c r="A32" s="15" t="s">
        <v>36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4">
        <f>(P31+N32-O32)</f>
        <v>-235981.71999999997</v>
      </c>
    </row>
    <row r="33" spans="1:16" x14ac:dyDescent="0.25">
      <c r="A33" s="15" t="s">
        <v>26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4">
        <v>0</v>
      </c>
    </row>
    <row r="34" spans="1:16" x14ac:dyDescent="0.25">
      <c r="A34" s="15" t="s">
        <v>27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4">
        <f>(P32-P33)</f>
        <v>-235981.71999999997</v>
      </c>
    </row>
    <row r="35" spans="1:16" x14ac:dyDescent="0.25">
      <c r="A35" s="16" t="s">
        <v>32</v>
      </c>
      <c r="B35" s="17" t="s">
        <v>33</v>
      </c>
      <c r="C35" t="s">
        <v>30</v>
      </c>
      <c r="D35" t="s">
        <v>34</v>
      </c>
      <c r="E35" s="4">
        <v>44882</v>
      </c>
      <c r="F35" s="4">
        <v>44882</v>
      </c>
      <c r="G35" s="4">
        <v>44882</v>
      </c>
      <c r="H35" s="4"/>
      <c r="I35" t="s">
        <v>21</v>
      </c>
      <c r="J35" s="3">
        <v>100000001</v>
      </c>
      <c r="K35" t="s">
        <v>19</v>
      </c>
      <c r="L35" t="s">
        <v>20</v>
      </c>
      <c r="M35" s="2">
        <v>1</v>
      </c>
      <c r="N35" s="8">
        <v>0</v>
      </c>
      <c r="O35" s="12">
        <v>345714.29</v>
      </c>
      <c r="P35" s="5">
        <f>(N35-O35)</f>
        <v>-345714.29</v>
      </c>
    </row>
    <row r="36" spans="1:16" x14ac:dyDescent="0.25">
      <c r="A36" s="16" t="s">
        <v>32</v>
      </c>
      <c r="B36" s="17" t="s">
        <v>33</v>
      </c>
      <c r="C36" t="s">
        <v>30</v>
      </c>
      <c r="D36" t="s">
        <v>34</v>
      </c>
      <c r="E36" s="4">
        <v>44882</v>
      </c>
      <c r="F36" s="4">
        <v>44882</v>
      </c>
      <c r="G36" s="4">
        <v>44882</v>
      </c>
      <c r="H36" s="4"/>
      <c r="I36" t="s">
        <v>21</v>
      </c>
      <c r="J36" s="3">
        <v>100000002</v>
      </c>
      <c r="K36" t="s">
        <v>19</v>
      </c>
      <c r="L36" t="s">
        <v>20</v>
      </c>
      <c r="M36" s="2">
        <v>1</v>
      </c>
      <c r="N36" s="8">
        <v>0</v>
      </c>
      <c r="O36" s="12">
        <v>518571.43</v>
      </c>
      <c r="P36" s="5">
        <f>(P35+N36-O36)</f>
        <v>-864285.72</v>
      </c>
    </row>
    <row r="37" spans="1:16" x14ac:dyDescent="0.25">
      <c r="A37" s="16" t="s">
        <v>32</v>
      </c>
      <c r="B37" s="17" t="s">
        <v>33</v>
      </c>
      <c r="C37" t="s">
        <v>30</v>
      </c>
      <c r="D37" t="s">
        <v>34</v>
      </c>
      <c r="E37" s="4">
        <v>44882</v>
      </c>
      <c r="F37" s="4">
        <v>44882</v>
      </c>
      <c r="G37" s="4">
        <v>44882</v>
      </c>
      <c r="H37" s="4"/>
      <c r="I37" t="s">
        <v>22</v>
      </c>
      <c r="J37" s="3">
        <v>100000023</v>
      </c>
      <c r="K37" t="s">
        <v>19</v>
      </c>
      <c r="L37" t="s">
        <v>23</v>
      </c>
      <c r="M37" s="2">
        <v>100</v>
      </c>
      <c r="N37" s="8">
        <v>74143</v>
      </c>
      <c r="O37" s="12">
        <v>0</v>
      </c>
      <c r="P37" s="5">
        <f>(P36+N37-O37)</f>
        <v>-790142.72</v>
      </c>
    </row>
    <row r="38" spans="1:16" x14ac:dyDescent="0.25">
      <c r="A38" s="16" t="s">
        <v>32</v>
      </c>
      <c r="B38" s="17" t="s">
        <v>33</v>
      </c>
      <c r="C38" t="s">
        <v>30</v>
      </c>
      <c r="D38" t="s">
        <v>34</v>
      </c>
      <c r="E38" s="4">
        <v>45748</v>
      </c>
      <c r="F38" s="4">
        <v>45748</v>
      </c>
      <c r="G38" s="6">
        <f t="shared" ref="G38" si="3">(E38+60)</f>
        <v>45808</v>
      </c>
      <c r="I38" t="s">
        <v>25</v>
      </c>
      <c r="J38" s="3">
        <v>100000008</v>
      </c>
      <c r="L38" t="s">
        <v>20</v>
      </c>
      <c r="M38" s="2">
        <v>1</v>
      </c>
      <c r="N38" s="10">
        <v>1000000</v>
      </c>
      <c r="O38" s="12">
        <v>0</v>
      </c>
      <c r="P38" s="5">
        <f>(P37+N38-O38)</f>
        <v>209857.28000000003</v>
      </c>
    </row>
    <row r="39" spans="1:16" x14ac:dyDescent="0.25">
      <c r="A39" s="15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4">
        <f>SUM(P35:P38)</f>
        <v>-1790285.45</v>
      </c>
    </row>
    <row r="40" spans="1:16" x14ac:dyDescent="0.25">
      <c r="A40" s="15" t="s">
        <v>26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4">
        <f>N38</f>
        <v>1000000</v>
      </c>
    </row>
    <row r="41" spans="1:16" x14ac:dyDescent="0.25">
      <c r="A41" s="15" t="s">
        <v>27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4">
        <v>790285.45</v>
      </c>
    </row>
  </sheetData>
  <mergeCells count="9">
    <mergeCell ref="A34:O34"/>
    <mergeCell ref="A39:O39"/>
    <mergeCell ref="A40:O40"/>
    <mergeCell ref="A41:O41"/>
    <mergeCell ref="A25:O25"/>
    <mergeCell ref="A26:O26"/>
    <mergeCell ref="A27:O27"/>
    <mergeCell ref="A32:O32"/>
    <mergeCell ref="A33:O3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Cuenta Pendiente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Agostina Drapata</dc:creator>
  <cp:lastModifiedBy>Paola Parisa</cp:lastModifiedBy>
  <dcterms:created xsi:type="dcterms:W3CDTF">2025-04-26T14:36:27Z</dcterms:created>
  <dcterms:modified xsi:type="dcterms:W3CDTF">2026-03-05T14:02:02Z</dcterms:modified>
</cp:coreProperties>
</file>